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ell 11 Gen\OneDrive\Desktop\Content Creation\Case Competition\Course Documents\"/>
    </mc:Choice>
  </mc:AlternateContent>
  <xr:revisionPtr revIDLastSave="0" documentId="13_ncr:1_{0691C48F-7295-424E-8777-116011E9B1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e Model" sheetId="3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'Finance Model'!$D$50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3" l="1"/>
  <c r="C45" i="3"/>
  <c r="E38" i="3"/>
  <c r="F38" i="3" s="1"/>
  <c r="G38" i="3" s="1"/>
  <c r="H38" i="3" s="1"/>
  <c r="I38" i="3" s="1"/>
  <c r="J38" i="3" s="1"/>
  <c r="E16" i="3"/>
  <c r="D24" i="3"/>
  <c r="D25" i="3" s="1"/>
  <c r="D39" i="3" l="1"/>
  <c r="D28" i="3"/>
  <c r="E24" i="3"/>
  <c r="D37" i="3"/>
  <c r="D27" i="3"/>
  <c r="D26" i="3"/>
  <c r="E25" i="3" l="1"/>
  <c r="E28" i="3"/>
  <c r="F24" i="3"/>
  <c r="E37" i="3"/>
  <c r="E26" i="3"/>
  <c r="E27" i="3"/>
  <c r="E39" i="3"/>
  <c r="D41" i="3"/>
  <c r="D30" i="3"/>
  <c r="E41" i="3" l="1"/>
  <c r="D44" i="3"/>
  <c r="D45" i="3" s="1"/>
  <c r="G24" i="3"/>
  <c r="F25" i="3"/>
  <c r="F28" i="3"/>
  <c r="F37" i="3"/>
  <c r="F39" i="3"/>
  <c r="F27" i="3"/>
  <c r="F26" i="3"/>
  <c r="E30" i="3"/>
  <c r="E44" i="3" l="1"/>
  <c r="E45" i="3" s="1"/>
  <c r="H24" i="3"/>
  <c r="G25" i="3"/>
  <c r="G28" i="3"/>
  <c r="G37" i="3"/>
  <c r="G39" i="3"/>
  <c r="G26" i="3"/>
  <c r="G27" i="3"/>
  <c r="F41" i="3"/>
  <c r="F30" i="3"/>
  <c r="G30" i="3" l="1"/>
  <c r="G41" i="3"/>
  <c r="F44" i="3"/>
  <c r="F45" i="3" s="1"/>
  <c r="I24" i="3"/>
  <c r="H25" i="3"/>
  <c r="H28" i="3"/>
  <c r="H37" i="3"/>
  <c r="H26" i="3"/>
  <c r="H27" i="3"/>
  <c r="H39" i="3"/>
  <c r="H41" i="3" l="1"/>
  <c r="G44" i="3"/>
  <c r="G45" i="3" s="1"/>
  <c r="H30" i="3"/>
  <c r="J24" i="3"/>
  <c r="I28" i="3"/>
  <c r="I37" i="3"/>
  <c r="I25" i="3"/>
  <c r="I27" i="3"/>
  <c r="I26" i="3"/>
  <c r="I39" i="3"/>
  <c r="H44" i="3" l="1"/>
  <c r="H45" i="3" s="1"/>
  <c r="I30" i="3"/>
  <c r="I41" i="3"/>
  <c r="J37" i="3"/>
  <c r="J28" i="3"/>
  <c r="J25" i="3"/>
  <c r="J26" i="3"/>
  <c r="J39" i="3"/>
  <c r="J27" i="3"/>
  <c r="I44" i="3" l="1"/>
  <c r="I45" i="3" s="1"/>
  <c r="J30" i="3"/>
  <c r="C48" i="3" s="1"/>
  <c r="J41" i="3"/>
  <c r="C47" i="3" s="1"/>
  <c r="J44" i="3" l="1"/>
  <c r="J45" i="3" s="1"/>
  <c r="D54" i="3"/>
  <c r="C69" i="3" s="1"/>
  <c r="D50" i="3" l="1"/>
  <c r="D60" i="3" s="1"/>
  <c r="D51" i="3"/>
</calcChain>
</file>

<file path=xl/sharedStrings.xml><?xml version="1.0" encoding="utf-8"?>
<sst xmlns="http://schemas.openxmlformats.org/spreadsheetml/2006/main" count="54" uniqueCount="52">
  <si>
    <t>Interest Income</t>
  </si>
  <si>
    <t>Partnership Revenue</t>
  </si>
  <si>
    <t>Total Revenue</t>
  </si>
  <si>
    <t>Operational Cost</t>
  </si>
  <si>
    <t>Reward Cost</t>
  </si>
  <si>
    <t>Total Cost</t>
  </si>
  <si>
    <t>EBITDA</t>
  </si>
  <si>
    <t>Dormant Cards</t>
  </si>
  <si>
    <t>High Spend Users</t>
  </si>
  <si>
    <t>Medium Spend Users</t>
  </si>
  <si>
    <t>Low Spend Users</t>
  </si>
  <si>
    <t>Spends</t>
  </si>
  <si>
    <t>% of users</t>
  </si>
  <si>
    <t>Average Spend</t>
  </si>
  <si>
    <t>Annual Fees</t>
  </si>
  <si>
    <t>No. of users in Year 1</t>
  </si>
  <si>
    <t>No. of users</t>
  </si>
  <si>
    <t>MDR</t>
  </si>
  <si>
    <t>Revolvers (Paying Interest)</t>
  </si>
  <si>
    <t>Partnership Fee</t>
  </si>
  <si>
    <t>Revenue Streams</t>
  </si>
  <si>
    <t>Cost Analysis</t>
  </si>
  <si>
    <t>Reward Redemption</t>
  </si>
  <si>
    <t>NPV</t>
  </si>
  <si>
    <t>IRR</t>
  </si>
  <si>
    <t>Sensitivity Analysis</t>
  </si>
  <si>
    <t>ROI</t>
  </si>
  <si>
    <t>Year 0</t>
  </si>
  <si>
    <t xml:space="preserve">Year 1 </t>
  </si>
  <si>
    <t>Year 2</t>
  </si>
  <si>
    <t>Year 3</t>
  </si>
  <si>
    <t>Year 4</t>
  </si>
  <si>
    <t>Year 5</t>
  </si>
  <si>
    <t>Year 6</t>
  </si>
  <si>
    <t>Year 7</t>
  </si>
  <si>
    <t>Cumulative Cash Flow</t>
  </si>
  <si>
    <t>Assumptions</t>
  </si>
  <si>
    <t>PayBack</t>
  </si>
  <si>
    <t>Breakeven Point</t>
  </si>
  <si>
    <t>Customer Acquisition Cost</t>
  </si>
  <si>
    <t>Assumptions and Base Model</t>
  </si>
  <si>
    <t>Growth of customers</t>
  </si>
  <si>
    <t>Interest Rate (Annual)</t>
  </si>
  <si>
    <t>Transaction Fees</t>
  </si>
  <si>
    <t>Customer Acquistion Cost/Customer</t>
  </si>
  <si>
    <t>CAPEX</t>
  </si>
  <si>
    <t>5-6 years</t>
  </si>
  <si>
    <t>3-4 years</t>
  </si>
  <si>
    <t>Total Investment</t>
  </si>
  <si>
    <t>No. of users vs NPV</t>
  </si>
  <si>
    <t>No. of users and Growth Rate vs IRR</t>
  </si>
  <si>
    <t xml:space="preserve">Financial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</si>
</sst>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0.0%"/>
    <numFmt numFmtId="165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</cellStyleXfs>
  <cellXfs count="40">
    <xf numFmtId="0" fontId="0" fillId="0" borderId="0" xfId="0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4" fontId="0" fillId="0" borderId="0" xfId="0" applyNumberFormat="1"/>
    <xf numFmtId="8" fontId="1" fillId="0" borderId="0" xfId="0" applyNumberFormat="1" applyFont="1"/>
    <xf numFmtId="0" fontId="0" fillId="3" borderId="0" xfId="0" applyFill="1"/>
    <xf numFmtId="0" fontId="0" fillId="0" borderId="3" xfId="0" applyBorder="1"/>
    <xf numFmtId="9" fontId="0" fillId="2" borderId="3" xfId="0" applyNumberFormat="1" applyFill="1" applyBorder="1"/>
    <xf numFmtId="3" fontId="0" fillId="2" borderId="3" xfId="0" applyNumberFormat="1" applyFill="1" applyBorder="1"/>
    <xf numFmtId="0" fontId="1" fillId="0" borderId="3" xfId="0" applyFont="1" applyBorder="1"/>
    <xf numFmtId="3" fontId="0" fillId="0" borderId="3" xfId="0" applyNumberFormat="1" applyBorder="1"/>
    <xf numFmtId="0" fontId="0" fillId="2" borderId="3" xfId="0" applyFill="1" applyBorder="1"/>
    <xf numFmtId="164" fontId="0" fillId="2" borderId="3" xfId="0" applyNumberFormat="1" applyFill="1" applyBorder="1"/>
    <xf numFmtId="0" fontId="0" fillId="0" borderId="3" xfId="0" applyFill="1" applyBorder="1"/>
    <xf numFmtId="3" fontId="0" fillId="2" borderId="3" xfId="0" applyNumberFormat="1" applyFill="1" applyBorder="1" applyAlignment="1">
      <alignment horizontal="right" indent="1"/>
    </xf>
    <xf numFmtId="3" fontId="0" fillId="0" borderId="3" xfId="0" applyNumberFormat="1" applyBorder="1" applyAlignment="1">
      <alignment horizontal="right" indent="1"/>
    </xf>
    <xf numFmtId="0" fontId="0" fillId="3" borderId="3" xfId="0" applyFill="1" applyBorder="1"/>
    <xf numFmtId="0" fontId="6" fillId="3" borderId="3" xfId="0" applyFont="1" applyFill="1" applyBorder="1"/>
    <xf numFmtId="0" fontId="5" fillId="3" borderId="3" xfId="0" applyFont="1" applyFill="1" applyBorder="1"/>
    <xf numFmtId="165" fontId="5" fillId="3" borderId="3" xfId="0" applyNumberFormat="1" applyFont="1" applyFill="1" applyBorder="1"/>
    <xf numFmtId="4" fontId="0" fillId="0" borderId="3" xfId="0" applyNumberFormat="1" applyBorder="1"/>
    <xf numFmtId="165" fontId="0" fillId="0" borderId="3" xfId="0" applyNumberFormat="1" applyBorder="1"/>
    <xf numFmtId="0" fontId="4" fillId="0" borderId="2" xfId="3"/>
    <xf numFmtId="0" fontId="5" fillId="3" borderId="3" xfId="0" applyFont="1" applyFill="1" applyBorder="1" applyAlignment="1">
      <alignment horizontal="center"/>
    </xf>
    <xf numFmtId="0" fontId="6" fillId="3" borderId="0" xfId="0" applyFont="1" applyFill="1"/>
    <xf numFmtId="3" fontId="6" fillId="3" borderId="3" xfId="0" applyNumberFormat="1" applyFont="1" applyFill="1" applyBorder="1"/>
    <xf numFmtId="8" fontId="0" fillId="0" borderId="3" xfId="0" applyNumberFormat="1" applyBorder="1"/>
    <xf numFmtId="9" fontId="0" fillId="0" borderId="3" xfId="0" applyNumberFormat="1" applyBorder="1"/>
    <xf numFmtId="0" fontId="1" fillId="0" borderId="3" xfId="0" applyFont="1" applyBorder="1" applyAlignment="1">
      <alignment horizontal="left"/>
    </xf>
    <xf numFmtId="8" fontId="0" fillId="0" borderId="3" xfId="0" applyNumberFormat="1" applyBorder="1" applyAlignment="1">
      <alignment horizontal="left"/>
    </xf>
    <xf numFmtId="9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9" fontId="0" fillId="0" borderId="3" xfId="1" applyFont="1" applyBorder="1" applyAlignment="1">
      <alignment horizontal="left"/>
    </xf>
    <xf numFmtId="0" fontId="6" fillId="3" borderId="0" xfId="0" applyFont="1" applyFill="1" applyAlignment="1">
      <alignment horizontal="center"/>
    </xf>
    <xf numFmtId="9" fontId="6" fillId="3" borderId="3" xfId="0" applyNumberFormat="1" applyFont="1" applyFill="1" applyBorder="1"/>
    <xf numFmtId="9" fontId="0" fillId="0" borderId="3" xfId="1" applyFont="1" applyFill="1" applyBorder="1"/>
    <xf numFmtId="0" fontId="0" fillId="0" borderId="0" xfId="0" applyFill="1"/>
    <xf numFmtId="0" fontId="3" fillId="0" borderId="1" xfId="2"/>
    <xf numFmtId="0" fontId="7" fillId="3" borderId="0" xfId="0" applyFont="1" applyFill="1" applyAlignment="1">
      <alignment horizontal="center"/>
    </xf>
  </cellXfs>
  <cellStyles count="4">
    <cellStyle name="Heading 2" xfId="2" builtinId="17"/>
    <cellStyle name="Heading 3" xfId="3" builtinId="1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7A25-4687-4906-8AAF-B5A8F2D93560}">
  <dimension ref="A1:P74"/>
  <sheetViews>
    <sheetView showGridLines="0" tabSelected="1" topLeftCell="A38" zoomScale="130" zoomScaleNormal="130" workbookViewId="0">
      <selection activeCell="G11" sqref="G11"/>
    </sheetView>
  </sheetViews>
  <sheetFormatPr defaultColWidth="0" defaultRowHeight="15" x14ac:dyDescent="0.25"/>
  <cols>
    <col min="1" max="1" width="9.140625" customWidth="1"/>
    <col min="2" max="2" width="20.7109375" bestFit="1" customWidth="1"/>
    <col min="3" max="3" width="34" bestFit="1" customWidth="1"/>
    <col min="4" max="4" width="18.5703125" bestFit="1" customWidth="1"/>
    <col min="5" max="5" width="16.5703125" bestFit="1" customWidth="1"/>
    <col min="6" max="6" width="17" bestFit="1" customWidth="1"/>
    <col min="7" max="7" width="25.28515625" bestFit="1" customWidth="1"/>
    <col min="8" max="10" width="17" bestFit="1" customWidth="1"/>
    <col min="11" max="12" width="14.42578125" bestFit="1" customWidth="1"/>
    <col min="13" max="16" width="9.140625" customWidth="1"/>
    <col min="17" max="16384" width="9.140625" hidden="1"/>
  </cols>
  <sheetData>
    <row r="1" spans="1:16" s="6" customFormat="1" ht="10.5" customHeight="1" x14ac:dyDescent="0.25"/>
    <row r="2" spans="1:16" s="6" customFormat="1" ht="23.25" x14ac:dyDescent="0.35">
      <c r="D2" s="39" t="s">
        <v>51</v>
      </c>
      <c r="E2" s="39"/>
      <c r="F2" s="39"/>
    </row>
    <row r="3" spans="1:16" s="6" customFormat="1" ht="6.75" customHeight="1" x14ac:dyDescent="0.25"/>
    <row r="4" spans="1:16" s="6" customFormat="1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 s="6" customForma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 s="6" customFormat="1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 s="6" customFormat="1" ht="18" thickBot="1" x14ac:dyDescent="0.35">
      <c r="A7" s="37"/>
      <c r="B7" s="37"/>
      <c r="C7" s="38" t="s">
        <v>40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 ht="15.75" thickTop="1" x14ac:dyDescent="0.25"/>
    <row r="10" spans="1:16" x14ac:dyDescent="0.25">
      <c r="C10" s="7"/>
      <c r="D10" s="10" t="s">
        <v>12</v>
      </c>
      <c r="E10" s="10" t="s">
        <v>11</v>
      </c>
      <c r="G10" s="3" t="s">
        <v>36</v>
      </c>
    </row>
    <row r="11" spans="1:16" x14ac:dyDescent="0.25">
      <c r="C11" s="10" t="s">
        <v>8</v>
      </c>
      <c r="D11" s="8">
        <v>0.1</v>
      </c>
      <c r="E11" s="9">
        <v>80000</v>
      </c>
      <c r="G11" s="14" t="s">
        <v>15</v>
      </c>
      <c r="H11" s="9">
        <v>2000</v>
      </c>
    </row>
    <row r="12" spans="1:16" x14ac:dyDescent="0.25">
      <c r="C12" s="10" t="s">
        <v>9</v>
      </c>
      <c r="D12" s="8">
        <v>0.4</v>
      </c>
      <c r="E12" s="9">
        <v>30000</v>
      </c>
      <c r="G12" s="14" t="s">
        <v>41</v>
      </c>
      <c r="H12" s="8">
        <v>0.1</v>
      </c>
    </row>
    <row r="13" spans="1:16" x14ac:dyDescent="0.25">
      <c r="C13" s="10" t="s">
        <v>10</v>
      </c>
      <c r="D13" s="8">
        <v>0.3</v>
      </c>
      <c r="E13" s="9">
        <v>5000</v>
      </c>
      <c r="G13" s="14" t="s">
        <v>14</v>
      </c>
      <c r="H13" s="12">
        <v>1000</v>
      </c>
    </row>
    <row r="14" spans="1:16" x14ac:dyDescent="0.25">
      <c r="C14" s="10" t="s">
        <v>7</v>
      </c>
      <c r="D14" s="8">
        <v>0.2</v>
      </c>
      <c r="E14" s="9">
        <v>0</v>
      </c>
      <c r="G14" s="14" t="s">
        <v>42</v>
      </c>
      <c r="H14" s="8">
        <v>0.18</v>
      </c>
    </row>
    <row r="15" spans="1:16" x14ac:dyDescent="0.25">
      <c r="C15" s="7"/>
      <c r="D15" s="7"/>
      <c r="E15" s="7"/>
      <c r="G15" s="14" t="s">
        <v>17</v>
      </c>
      <c r="H15" s="13">
        <v>4.0000000000000001E-3</v>
      </c>
    </row>
    <row r="16" spans="1:16" x14ac:dyDescent="0.25">
      <c r="C16" s="10" t="s">
        <v>13</v>
      </c>
      <c r="D16" s="7"/>
      <c r="E16" s="11">
        <f>SUMPRODUCT(D11:D14,E11:E14)</f>
        <v>21500</v>
      </c>
      <c r="G16" s="14" t="s">
        <v>18</v>
      </c>
      <c r="H16" s="8">
        <v>0.02</v>
      </c>
    </row>
    <row r="17" spans="2:10" x14ac:dyDescent="0.25">
      <c r="G17" s="14" t="s">
        <v>19</v>
      </c>
      <c r="H17" s="12">
        <v>200</v>
      </c>
    </row>
    <row r="18" spans="2:10" x14ac:dyDescent="0.25">
      <c r="G18" s="14" t="s">
        <v>22</v>
      </c>
      <c r="H18" s="8">
        <v>0.6</v>
      </c>
    </row>
    <row r="19" spans="2:10" x14ac:dyDescent="0.25">
      <c r="G19" s="14" t="s">
        <v>45</v>
      </c>
      <c r="H19" s="9">
        <v>-50000000</v>
      </c>
    </row>
    <row r="21" spans="2:10" ht="15.75" thickBot="1" x14ac:dyDescent="0.3">
      <c r="B21" s="23" t="s">
        <v>20</v>
      </c>
    </row>
    <row r="22" spans="2:10" x14ac:dyDescent="0.25">
      <c r="B22" s="3"/>
    </row>
    <row r="23" spans="2:10" x14ac:dyDescent="0.25">
      <c r="C23" s="17"/>
      <c r="D23" s="18">
        <v>1</v>
      </c>
      <c r="E23" s="18">
        <v>2</v>
      </c>
      <c r="F23" s="18">
        <v>3</v>
      </c>
      <c r="G23" s="18">
        <v>4</v>
      </c>
      <c r="H23" s="18">
        <v>5</v>
      </c>
      <c r="I23" s="18">
        <v>6</v>
      </c>
      <c r="J23" s="18">
        <v>7</v>
      </c>
    </row>
    <row r="24" spans="2:10" x14ac:dyDescent="0.25">
      <c r="C24" s="7" t="s">
        <v>16</v>
      </c>
      <c r="D24" s="15">
        <f>H11</f>
        <v>2000</v>
      </c>
      <c r="E24" s="16">
        <f>D24*(1+$H$12)+D24</f>
        <v>4200</v>
      </c>
      <c r="F24" s="16">
        <f t="shared" ref="F24:J24" si="0">E24*(1+$H$12)+E24</f>
        <v>8820</v>
      </c>
      <c r="G24" s="16">
        <f t="shared" si="0"/>
        <v>18522</v>
      </c>
      <c r="H24" s="16">
        <f t="shared" si="0"/>
        <v>38896.199999999997</v>
      </c>
      <c r="I24" s="16">
        <f t="shared" si="0"/>
        <v>81682.01999999999</v>
      </c>
      <c r="J24" s="16">
        <f t="shared" si="0"/>
        <v>171532.24199999997</v>
      </c>
    </row>
    <row r="25" spans="2:10" x14ac:dyDescent="0.25">
      <c r="C25" s="7" t="s">
        <v>14</v>
      </c>
      <c r="D25" s="11">
        <f>D24*(1-$D$11)*$H$13</f>
        <v>1800000</v>
      </c>
      <c r="E25" s="11">
        <f t="shared" ref="E25:J25" si="1">E24*(1-$D$11)*$H$13</f>
        <v>3780000</v>
      </c>
      <c r="F25" s="11">
        <f t="shared" si="1"/>
        <v>7938000</v>
      </c>
      <c r="G25" s="11">
        <f t="shared" si="1"/>
        <v>16669800</v>
      </c>
      <c r="H25" s="11">
        <f t="shared" si="1"/>
        <v>35006580</v>
      </c>
      <c r="I25" s="11">
        <f t="shared" si="1"/>
        <v>73513818</v>
      </c>
      <c r="J25" s="11">
        <f t="shared" si="1"/>
        <v>154379017.79999998</v>
      </c>
    </row>
    <row r="26" spans="2:10" x14ac:dyDescent="0.25">
      <c r="C26" s="7" t="s">
        <v>43</v>
      </c>
      <c r="D26" s="11">
        <f>$E$16*12*$H$15*D24</f>
        <v>2064000</v>
      </c>
      <c r="E26" s="11">
        <f t="shared" ref="E26:J26" si="2">$E$16*12*$H$15*E24</f>
        <v>4334400</v>
      </c>
      <c r="F26" s="11">
        <f t="shared" si="2"/>
        <v>9102240</v>
      </c>
      <c r="G26" s="11">
        <f t="shared" si="2"/>
        <v>19114704</v>
      </c>
      <c r="H26" s="11">
        <f t="shared" si="2"/>
        <v>40140878.399999999</v>
      </c>
      <c r="I26" s="11">
        <f t="shared" si="2"/>
        <v>84295844.639999986</v>
      </c>
      <c r="J26" s="11">
        <f t="shared" si="2"/>
        <v>177021273.74399996</v>
      </c>
    </row>
    <row r="27" spans="2:10" x14ac:dyDescent="0.25">
      <c r="C27" s="7" t="s">
        <v>0</v>
      </c>
      <c r="D27" s="11">
        <f>$E$16*12*$H$14*D24*$H$16</f>
        <v>1857600</v>
      </c>
      <c r="E27" s="11">
        <f t="shared" ref="E27:J27" si="3">$E$16*12*$H$14*E24*$H$16</f>
        <v>3900960</v>
      </c>
      <c r="F27" s="11">
        <f t="shared" si="3"/>
        <v>8192016</v>
      </c>
      <c r="G27" s="11">
        <f t="shared" si="3"/>
        <v>17203233.600000001</v>
      </c>
      <c r="H27" s="11">
        <f t="shared" si="3"/>
        <v>36126790.559999995</v>
      </c>
      <c r="I27" s="11">
        <f t="shared" si="3"/>
        <v>75866260.175999999</v>
      </c>
      <c r="J27" s="11">
        <f t="shared" si="3"/>
        <v>159319146.36959997</v>
      </c>
    </row>
    <row r="28" spans="2:10" x14ac:dyDescent="0.25">
      <c r="C28" s="7" t="s">
        <v>1</v>
      </c>
      <c r="D28" s="11">
        <f>$H$17*D24</f>
        <v>400000</v>
      </c>
      <c r="E28" s="11">
        <f t="shared" ref="E28:J28" si="4">$H$17*E24</f>
        <v>840000</v>
      </c>
      <c r="F28" s="11">
        <f t="shared" si="4"/>
        <v>1764000</v>
      </c>
      <c r="G28" s="11">
        <f t="shared" si="4"/>
        <v>3704400</v>
      </c>
      <c r="H28" s="11">
        <f t="shared" si="4"/>
        <v>7779239.9999999991</v>
      </c>
      <c r="I28" s="11">
        <f t="shared" si="4"/>
        <v>16336403.999999998</v>
      </c>
      <c r="J28" s="11">
        <f t="shared" si="4"/>
        <v>34306448.399999991</v>
      </c>
    </row>
    <row r="30" spans="2:10" x14ac:dyDescent="0.25">
      <c r="C30" s="19" t="s">
        <v>2</v>
      </c>
      <c r="D30" s="20">
        <f>SUM(D25:D28)</f>
        <v>6121600</v>
      </c>
      <c r="E30" s="20">
        <f t="shared" ref="E30:J30" si="5">SUM(E25:E28)</f>
        <v>12855360</v>
      </c>
      <c r="F30" s="20">
        <f t="shared" si="5"/>
        <v>26996256</v>
      </c>
      <c r="G30" s="20">
        <f t="shared" si="5"/>
        <v>56692137.600000001</v>
      </c>
      <c r="H30" s="20">
        <f t="shared" si="5"/>
        <v>119053488.96000001</v>
      </c>
      <c r="I30" s="20">
        <f t="shared" si="5"/>
        <v>250012326.81599998</v>
      </c>
      <c r="J30" s="20">
        <f t="shared" si="5"/>
        <v>525025886.31359982</v>
      </c>
    </row>
    <row r="33" spans="2:10" ht="15.75" thickBot="1" x14ac:dyDescent="0.3">
      <c r="B33" s="23" t="s">
        <v>21</v>
      </c>
    </row>
    <row r="35" spans="2:10" x14ac:dyDescent="0.25">
      <c r="C35" s="18"/>
      <c r="D35" s="18">
        <v>1</v>
      </c>
      <c r="E35" s="18">
        <v>2</v>
      </c>
      <c r="F35" s="18">
        <v>3</v>
      </c>
      <c r="G35" s="18">
        <v>4</v>
      </c>
      <c r="H35" s="18">
        <v>5</v>
      </c>
      <c r="I35" s="18">
        <v>6</v>
      </c>
      <c r="J35" s="18">
        <v>7</v>
      </c>
    </row>
    <row r="36" spans="2:10" x14ac:dyDescent="0.25">
      <c r="C36" s="7" t="s">
        <v>44</v>
      </c>
      <c r="D36" s="12">
        <v>2000</v>
      </c>
      <c r="E36" s="12">
        <v>1800</v>
      </c>
      <c r="F36" s="12">
        <v>1500</v>
      </c>
      <c r="G36" s="12">
        <v>1000</v>
      </c>
      <c r="H36" s="12">
        <v>500</v>
      </c>
      <c r="I36" s="12">
        <v>200</v>
      </c>
      <c r="J36" s="12">
        <v>100</v>
      </c>
    </row>
    <row r="37" spans="2:10" x14ac:dyDescent="0.25">
      <c r="C37" s="7" t="s">
        <v>39</v>
      </c>
      <c r="D37" s="11">
        <f>D36*D24</f>
        <v>4000000</v>
      </c>
      <c r="E37" s="11">
        <f>E36*(E24-D24)</f>
        <v>3960000</v>
      </c>
      <c r="F37" s="11">
        <f t="shared" ref="F37:J37" si="6">F36*(F24-E24)</f>
        <v>6930000</v>
      </c>
      <c r="G37" s="11">
        <f t="shared" si="6"/>
        <v>9702000</v>
      </c>
      <c r="H37" s="11">
        <f t="shared" si="6"/>
        <v>10187099.999999998</v>
      </c>
      <c r="I37" s="11">
        <f t="shared" si="6"/>
        <v>8557163.9999999981</v>
      </c>
      <c r="J37" s="11">
        <f t="shared" si="6"/>
        <v>8985022.1999999974</v>
      </c>
    </row>
    <row r="38" spans="2:10" x14ac:dyDescent="0.25">
      <c r="C38" s="7" t="s">
        <v>3</v>
      </c>
      <c r="D38" s="21">
        <v>10000000</v>
      </c>
      <c r="E38" s="21">
        <f>D38*1.2</f>
        <v>12000000</v>
      </c>
      <c r="F38" s="21">
        <f t="shared" ref="F38:J38" si="7">E38*1.2</f>
        <v>14400000</v>
      </c>
      <c r="G38" s="21">
        <f t="shared" si="7"/>
        <v>17280000</v>
      </c>
      <c r="H38" s="21">
        <f t="shared" si="7"/>
        <v>20736000</v>
      </c>
      <c r="I38" s="21">
        <f t="shared" si="7"/>
        <v>24883200</v>
      </c>
      <c r="J38" s="21">
        <f t="shared" si="7"/>
        <v>29859840</v>
      </c>
    </row>
    <row r="39" spans="2:10" x14ac:dyDescent="0.25">
      <c r="C39" s="7" t="s">
        <v>4</v>
      </c>
      <c r="D39" s="11">
        <f>$E$16*0.01*D24*$H$18*12</f>
        <v>3096000</v>
      </c>
      <c r="E39" s="11">
        <f t="shared" ref="E39:J39" si="8">$E$16*0.01*E24*$H$18*12</f>
        <v>6501600</v>
      </c>
      <c r="F39" s="11">
        <f t="shared" si="8"/>
        <v>13653360</v>
      </c>
      <c r="G39" s="11">
        <f t="shared" si="8"/>
        <v>28672056</v>
      </c>
      <c r="H39" s="11">
        <f t="shared" si="8"/>
        <v>60211317.599999987</v>
      </c>
      <c r="I39" s="11">
        <f t="shared" si="8"/>
        <v>126443766.95999998</v>
      </c>
      <c r="J39" s="11">
        <f t="shared" si="8"/>
        <v>265531910.61599994</v>
      </c>
    </row>
    <row r="40" spans="2:10" x14ac:dyDescent="0.25">
      <c r="C40" s="7"/>
      <c r="D40" s="7"/>
      <c r="E40" s="7"/>
      <c r="F40" s="7"/>
      <c r="G40" s="7"/>
      <c r="H40" s="7"/>
      <c r="I40" s="7"/>
      <c r="J40" s="7"/>
    </row>
    <row r="41" spans="2:10" x14ac:dyDescent="0.25">
      <c r="C41" s="10" t="s">
        <v>5</v>
      </c>
      <c r="D41" s="22">
        <f>D37+D38+D39</f>
        <v>17096000</v>
      </c>
      <c r="E41" s="22">
        <f t="shared" ref="E41:J41" si="9">E37+E38+E39</f>
        <v>22461600</v>
      </c>
      <c r="F41" s="22">
        <f t="shared" si="9"/>
        <v>34983360</v>
      </c>
      <c r="G41" s="22">
        <f t="shared" si="9"/>
        <v>55654056</v>
      </c>
      <c r="H41" s="22">
        <f t="shared" si="9"/>
        <v>91134417.599999994</v>
      </c>
      <c r="I41" s="22">
        <f t="shared" si="9"/>
        <v>159884130.95999998</v>
      </c>
      <c r="J41" s="22">
        <f t="shared" si="9"/>
        <v>304376772.81599993</v>
      </c>
    </row>
    <row r="43" spans="2:10" x14ac:dyDescent="0.25">
      <c r="B43" s="18"/>
      <c r="C43" s="24" t="s">
        <v>27</v>
      </c>
      <c r="D43" s="24" t="s">
        <v>28</v>
      </c>
      <c r="E43" s="24" t="s">
        <v>29</v>
      </c>
      <c r="F43" s="24" t="s">
        <v>30</v>
      </c>
      <c r="G43" s="24" t="s">
        <v>31</v>
      </c>
      <c r="H43" s="24" t="s">
        <v>32</v>
      </c>
      <c r="I43" s="24" t="s">
        <v>33</v>
      </c>
      <c r="J43" s="24" t="s">
        <v>34</v>
      </c>
    </row>
    <row r="44" spans="2:10" x14ac:dyDescent="0.25">
      <c r="B44" s="10" t="s">
        <v>6</v>
      </c>
      <c r="C44" s="11">
        <f>H19</f>
        <v>-50000000</v>
      </c>
      <c r="D44" s="22">
        <f>D30-D41</f>
        <v>-10974400</v>
      </c>
      <c r="E44" s="22">
        <f>E30-E41</f>
        <v>-9606240</v>
      </c>
      <c r="F44" s="22">
        <f>F30-F41</f>
        <v>-7987104</v>
      </c>
      <c r="G44" s="22">
        <f>G30-G41</f>
        <v>1038081.6000000015</v>
      </c>
      <c r="H44" s="22">
        <f>H30-H41</f>
        <v>27919071.360000014</v>
      </c>
      <c r="I44" s="22">
        <f>I30-I41</f>
        <v>90128195.856000006</v>
      </c>
      <c r="J44" s="22">
        <f>J30-J41</f>
        <v>220649113.4975999</v>
      </c>
    </row>
    <row r="45" spans="2:10" x14ac:dyDescent="0.25">
      <c r="B45" s="10" t="s">
        <v>35</v>
      </c>
      <c r="C45" s="11">
        <f>H19</f>
        <v>-50000000</v>
      </c>
      <c r="D45" s="21">
        <f>D44+C45</f>
        <v>-60974400</v>
      </c>
      <c r="E45" s="21">
        <f t="shared" ref="E45:J45" si="10">E44+D45</f>
        <v>-70580640</v>
      </c>
      <c r="F45" s="21">
        <f t="shared" si="10"/>
        <v>-78567744</v>
      </c>
      <c r="G45" s="21">
        <f>G44+F45</f>
        <v>-77529662.400000006</v>
      </c>
      <c r="H45" s="21">
        <f t="shared" si="10"/>
        <v>-49610591.039999992</v>
      </c>
      <c r="I45" s="21">
        <f t="shared" si="10"/>
        <v>40517604.816000015</v>
      </c>
      <c r="J45" s="21">
        <f t="shared" si="10"/>
        <v>261166718.31359991</v>
      </c>
    </row>
    <row r="46" spans="2:10" x14ac:dyDescent="0.25">
      <c r="C46" s="2"/>
      <c r="D46" s="4"/>
      <c r="E46" s="4"/>
      <c r="F46" s="4"/>
      <c r="G46" s="4"/>
      <c r="H46" s="4"/>
      <c r="I46" s="4"/>
      <c r="J46" s="4"/>
    </row>
    <row r="47" spans="2:10" x14ac:dyDescent="0.25">
      <c r="B47" s="18" t="s">
        <v>48</v>
      </c>
      <c r="C47" s="26">
        <f>50000000+SUM(D41:J41)</f>
        <v>735590337.37599993</v>
      </c>
    </row>
    <row r="48" spans="2:10" x14ac:dyDescent="0.25">
      <c r="B48" s="18" t="s">
        <v>2</v>
      </c>
      <c r="C48" s="26">
        <f>SUM(D30:J30)</f>
        <v>996757055.68959975</v>
      </c>
    </row>
    <row r="50" spans="3:12" x14ac:dyDescent="0.25">
      <c r="C50" s="29" t="s">
        <v>23</v>
      </c>
      <c r="D50" s="30">
        <f>NPV(10%, C44:J44)</f>
        <v>98391702.887831226</v>
      </c>
    </row>
    <row r="51" spans="3:12" x14ac:dyDescent="0.25">
      <c r="C51" s="29" t="s">
        <v>24</v>
      </c>
      <c r="D51" s="31">
        <f>IRR(C44:J44)</f>
        <v>0.27985782875357734</v>
      </c>
    </row>
    <row r="52" spans="3:12" x14ac:dyDescent="0.25">
      <c r="C52" s="29" t="s">
        <v>38</v>
      </c>
      <c r="D52" s="32" t="s">
        <v>47</v>
      </c>
    </row>
    <row r="53" spans="3:12" x14ac:dyDescent="0.25">
      <c r="C53" s="29" t="s">
        <v>37</v>
      </c>
      <c r="D53" s="32" t="s">
        <v>46</v>
      </c>
    </row>
    <row r="54" spans="3:12" x14ac:dyDescent="0.25">
      <c r="C54" s="29" t="s">
        <v>26</v>
      </c>
      <c r="D54" s="33">
        <f>(C48-C47)/C47</f>
        <v>0.3550437044146536</v>
      </c>
    </row>
    <row r="58" spans="3:12" x14ac:dyDescent="0.25">
      <c r="C58" s="3" t="s">
        <v>25</v>
      </c>
    </row>
    <row r="59" spans="3:12" x14ac:dyDescent="0.25">
      <c r="D59" s="25" t="s">
        <v>49</v>
      </c>
    </row>
    <row r="60" spans="3:12" x14ac:dyDescent="0.25">
      <c r="C60" s="7"/>
      <c r="D60" s="27">
        <f>D50</f>
        <v>98391702.887831226</v>
      </c>
    </row>
    <row r="61" spans="3:12" x14ac:dyDescent="0.25">
      <c r="C61" s="18">
        <v>500</v>
      </c>
      <c r="D61" s="27">
        <f t="dataTable" ref="D61:D65" dt2D="0" dtr="0" r1="H11" ca="1"/>
        <v>-66679686.774069324</v>
      </c>
    </row>
    <row r="62" spans="3:12" x14ac:dyDescent="0.25">
      <c r="C62" s="18">
        <v>1000</v>
      </c>
      <c r="D62" s="27">
        <v>-11655890.220102463</v>
      </c>
      <c r="H62" s="5"/>
    </row>
    <row r="63" spans="3:12" x14ac:dyDescent="0.25">
      <c r="C63" s="18">
        <v>1500</v>
      </c>
      <c r="D63" s="27">
        <v>43367906.333864421</v>
      </c>
      <c r="H63" s="1"/>
      <c r="I63" s="2"/>
      <c r="J63" s="2"/>
      <c r="K63" s="2"/>
      <c r="L63" s="2"/>
    </row>
    <row r="64" spans="3:12" x14ac:dyDescent="0.25">
      <c r="C64" s="18">
        <v>2000</v>
      </c>
      <c r="D64" s="27">
        <v>98391702.887831226</v>
      </c>
      <c r="H64" s="1"/>
      <c r="I64" s="2"/>
      <c r="J64" s="2"/>
      <c r="K64" s="2"/>
      <c r="L64" s="2"/>
    </row>
    <row r="65" spans="3:12" x14ac:dyDescent="0.25">
      <c r="C65" s="18">
        <v>2500</v>
      </c>
      <c r="D65" s="27">
        <v>153415499.44179809</v>
      </c>
      <c r="H65" s="1"/>
      <c r="I65" s="2"/>
      <c r="J65" s="2"/>
      <c r="K65" s="2"/>
      <c r="L65" s="2"/>
    </row>
    <row r="66" spans="3:12" x14ac:dyDescent="0.25">
      <c r="C66" s="1"/>
      <c r="D66" s="2"/>
      <c r="H66" s="1"/>
      <c r="I66" s="2"/>
      <c r="J66" s="2"/>
      <c r="K66" s="2"/>
      <c r="L66" s="2"/>
    </row>
    <row r="67" spans="3:12" x14ac:dyDescent="0.25">
      <c r="C67" s="1"/>
      <c r="D67" s="2"/>
      <c r="H67" s="1"/>
      <c r="I67" s="2"/>
      <c r="J67" s="2"/>
      <c r="K67" s="2"/>
      <c r="L67" s="2"/>
    </row>
    <row r="68" spans="3:12" x14ac:dyDescent="0.25">
      <c r="C68" s="1"/>
      <c r="D68" s="34" t="s">
        <v>50</v>
      </c>
      <c r="E68" s="34"/>
      <c r="F68" s="34"/>
      <c r="H68" s="1"/>
      <c r="I68" s="2"/>
      <c r="J68" s="2"/>
      <c r="K68" s="2"/>
      <c r="L68" s="2"/>
    </row>
    <row r="69" spans="3:12" x14ac:dyDescent="0.25">
      <c r="C69" s="28">
        <f>D54</f>
        <v>0.3550437044146536</v>
      </c>
      <c r="D69" s="35">
        <v>0</v>
      </c>
      <c r="E69" s="35">
        <v>0.05</v>
      </c>
      <c r="F69" s="35">
        <v>0.1</v>
      </c>
      <c r="G69" s="35">
        <v>0.15</v>
      </c>
      <c r="H69" s="35">
        <v>0.2</v>
      </c>
    </row>
    <row r="70" spans="3:12" x14ac:dyDescent="0.25">
      <c r="C70" s="18">
        <v>500</v>
      </c>
      <c r="D70" s="36">
        <f t="dataTable" ref="D70:H74" dt2D="1" dtr="1" r1="H12" r2="H11"/>
        <v>-0.32526974518657831</v>
      </c>
      <c r="E70" s="36">
        <v>-0.27137853626958208</v>
      </c>
      <c r="F70" s="36">
        <v>-0.21704301691594652</v>
      </c>
      <c r="G70" s="36">
        <v>-0.1626712489093326</v>
      </c>
      <c r="H70" s="36">
        <v>-0.10865678125027016</v>
      </c>
    </row>
    <row r="71" spans="3:12" x14ac:dyDescent="0.25">
      <c r="C71" s="18">
        <v>1000</v>
      </c>
      <c r="D71" s="36">
        <v>-2.0741492537794708E-2</v>
      </c>
      <c r="E71" s="36">
        <v>3.5364837032745275E-2</v>
      </c>
      <c r="F71" s="36">
        <v>8.9650433596186282E-2</v>
      </c>
      <c r="G71" s="36">
        <v>0.14182111082644636</v>
      </c>
      <c r="H71" s="36">
        <v>0.19164944903224029</v>
      </c>
    </row>
    <row r="72" spans="3:12" x14ac:dyDescent="0.25">
      <c r="C72" s="18">
        <v>1500</v>
      </c>
      <c r="D72" s="36">
        <v>0.15267153479990947</v>
      </c>
      <c r="E72" s="36">
        <v>0.20437540084775327</v>
      </c>
      <c r="F72" s="36">
        <v>0.25329372686420193</v>
      </c>
      <c r="G72" s="36">
        <v>0.29931907965422194</v>
      </c>
      <c r="H72" s="36">
        <v>0.34240827373034788</v>
      </c>
    </row>
    <row r="73" spans="3:12" x14ac:dyDescent="0.25">
      <c r="C73" s="18">
        <v>2000</v>
      </c>
      <c r="D73" s="36">
        <v>0.26464723020232711</v>
      </c>
      <c r="E73" s="36">
        <v>0.31141127404534324</v>
      </c>
      <c r="F73" s="36">
        <v>0.3550437044146536</v>
      </c>
      <c r="G73" s="36">
        <v>0.39556848306737175</v>
      </c>
      <c r="H73" s="36">
        <v>0.43305833463046062</v>
      </c>
    </row>
    <row r="74" spans="3:12" x14ac:dyDescent="0.25">
      <c r="C74" s="18">
        <v>2500</v>
      </c>
      <c r="D74" s="36">
        <v>0.34292170138165318</v>
      </c>
      <c r="E74" s="36">
        <v>0.38527922486089317</v>
      </c>
      <c r="F74" s="36">
        <v>0.42443001956466941</v>
      </c>
      <c r="G74" s="36">
        <v>0.46048114756226832</v>
      </c>
      <c r="H74" s="36">
        <v>0.49357307963487013</v>
      </c>
    </row>
  </sheetData>
  <mergeCells count="2">
    <mergeCell ref="D68:F68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Ananta Chhajer</cp:lastModifiedBy>
  <dcterms:created xsi:type="dcterms:W3CDTF">2025-04-13T10:23:40Z</dcterms:created>
  <dcterms:modified xsi:type="dcterms:W3CDTF">2025-05-04T09:17:09Z</dcterms:modified>
</cp:coreProperties>
</file>